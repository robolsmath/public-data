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527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Personal\public-data\nbafantasy-data\"/>
    </mc:Choice>
  </mc:AlternateContent>
  <xr:revisionPtr revIDLastSave="0" documentId="13_ncr:1_{F1140E22-214B-4BA2-A1F5-DEBCF00AA491}" xr6:coauthVersionLast="47" xr6:coauthVersionMax="47" xr10:uidLastSave="{00000000-0000-0000-0000-000000000000}"/>
  <bookViews>
    <workbookView xWindow="-120" yWindow="-120" windowWidth="29040" windowHeight="15720" activeTab="1" xr2:uid="{E72DEA05-FDA4-4863-A00D-39A734E2D268}"/>
  </bookViews>
  <sheets>
    <sheet name="raw stats" sheetId="1" r:id="rId1"/>
    <sheet name="cleaned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D4" i="2" l="1" a="1"/>
  <c r="F4" i="2" a="1"/>
  <c r="H4" i="2"/>
  <c r="I4" i="2"/>
  <c r="J4" i="2"/>
  <c r="K4" i="2"/>
  <c r="L4" i="2"/>
  <c r="M4" i="2"/>
  <c r="N4" i="2"/>
  <c r="D5" i="2" a="1"/>
  <c r="F5" i="2" a="1"/>
  <c r="H5" i="2"/>
  <c r="I5" i="2"/>
  <c r="J5" i="2"/>
  <c r="K5" i="2"/>
  <c r="L5" i="2"/>
  <c r="M5" i="2"/>
  <c r="N5" i="2"/>
  <c r="D6" i="2" a="1"/>
  <c r="F6" i="2" a="1"/>
  <c r="H6" i="2"/>
  <c r="I6" i="2"/>
  <c r="J6" i="2"/>
  <c r="K6" i="2"/>
  <c r="L6" i="2"/>
  <c r="M6" i="2"/>
  <c r="N6" i="2"/>
  <c r="D7" i="2" a="1"/>
  <c r="F7" i="2" a="1"/>
  <c r="H7" i="2"/>
  <c r="I7" i="2"/>
  <c r="J7" i="2"/>
  <c r="K7" i="2"/>
  <c r="L7" i="2"/>
  <c r="M7" i="2"/>
  <c r="N7" i="2"/>
  <c r="D8" i="2" a="1"/>
  <c r="F8" i="2" a="1"/>
  <c r="H8" i="2"/>
  <c r="I8" i="2"/>
  <c r="J8" i="2"/>
  <c r="K8" i="2"/>
  <c r="L8" i="2"/>
  <c r="M8" i="2"/>
  <c r="N8" i="2"/>
  <c r="D9" i="2" a="1"/>
  <c r="F9" i="2" a="1"/>
  <c r="H9" i="2"/>
  <c r="I9" i="2"/>
  <c r="J9" i="2"/>
  <c r="K9" i="2"/>
  <c r="L9" i="2"/>
  <c r="M9" i="2"/>
  <c r="N9" i="2"/>
  <c r="D10" i="2" a="1"/>
  <c r="F10" i="2" a="1"/>
  <c r="H10" i="2"/>
  <c r="I10" i="2"/>
  <c r="J10" i="2"/>
  <c r="K10" i="2"/>
  <c r="L10" i="2"/>
  <c r="M10" i="2"/>
  <c r="N10" i="2"/>
  <c r="D11" i="2" a="1"/>
  <c r="F11" i="2" a="1"/>
  <c r="H11" i="2"/>
  <c r="I11" i="2"/>
  <c r="J11" i="2"/>
  <c r="K11" i="2"/>
  <c r="L11" i="2"/>
  <c r="M11" i="2"/>
  <c r="N11" i="2"/>
  <c r="D12" i="2" a="1"/>
  <c r="F12" i="2" a="1"/>
  <c r="H12" i="2"/>
  <c r="I12" i="2"/>
  <c r="J12" i="2"/>
  <c r="K12" i="2"/>
  <c r="L12" i="2"/>
  <c r="M12" i="2"/>
  <c r="N12" i="2"/>
  <c r="D13" i="2" a="1"/>
  <c r="F13" i="2" a="1"/>
  <c r="H13" i="2"/>
  <c r="I13" i="2"/>
  <c r="J13" i="2"/>
  <c r="K13" i="2"/>
  <c r="L13" i="2"/>
  <c r="M13" i="2"/>
  <c r="N13" i="2"/>
  <c r="D14" i="2" a="1"/>
  <c r="F14" i="2" a="1"/>
  <c r="H14" i="2"/>
  <c r="I14" i="2"/>
  <c r="J14" i="2"/>
  <c r="K14" i="2"/>
  <c r="L14" i="2"/>
  <c r="M14" i="2"/>
  <c r="N14" i="2"/>
  <c r="N3" i="2"/>
  <c r="M3" i="2"/>
  <c r="L3" i="2"/>
  <c r="K3" i="2"/>
  <c r="J3" i="2"/>
  <c r="I3" i="2"/>
  <c r="H3" i="2"/>
  <c r="F3" i="2" a="1"/>
  <c r="D3" i="2" a="1"/>
  <c r="B3" i="2" a="1"/>
  <c r="C14" i="2" l="1"/>
  <c r="C13" i="2"/>
  <c r="C12" i="2"/>
  <c r="C11" i="2"/>
  <c r="C10" i="2"/>
  <c r="C9" i="2"/>
  <c r="C8" i="2"/>
  <c r="C7" i="2"/>
  <c r="C6" i="2"/>
  <c r="C5" i="2"/>
  <c r="C4" i="2"/>
  <c r="C3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<sst xmlns="http://schemas.openxmlformats.org/spreadsheetml/2006/main" count="61" uniqueCount="55">
  <si>
    <t>Team</t>
  </si>
  <si>
    <t>FGM/A*</t>
  </si>
  <si>
    <t>FG%</t>
  </si>
  <si>
    <t>FTM/A*</t>
  </si>
  <si>
    <t>FT%</t>
  </si>
  <si>
    <t>3PTM</t>
  </si>
  <si>
    <t>PTS</t>
  </si>
  <si>
    <t>REB</t>
  </si>
  <si>
    <t>AST</t>
  </si>
  <si>
    <t>ST</t>
  </si>
  <si>
    <t>BLK</t>
  </si>
  <si>
    <t>TO</t>
  </si>
  <si>
    <t>rawballs</t>
  </si>
  <si>
    <t>Scottie doesn't know</t>
  </si>
  <si>
    <t>Lake Show</t>
  </si>
  <si>
    <t>Mj</t>
  </si>
  <si>
    <t>Team G</t>
  </si>
  <si>
    <t>PFG</t>
  </si>
  <si>
    <t>OKCTHECHAMPSS</t>
  </si>
  <si>
    <t>JLG</t>
  </si>
  <si>
    <t>Hays charlotte</t>
  </si>
  <si>
    <t>Mate</t>
  </si>
  <si>
    <t>MBO</t>
  </si>
  <si>
    <t>MGD</t>
  </si>
  <si>
    <t>Opponent</t>
  </si>
  <si>
    <t>FGM</t>
  </si>
  <si>
    <t>FGA</t>
  </si>
  <si>
    <t>FTM</t>
  </si>
  <si>
    <t>FTA</t>
  </si>
  <si>
    <t>3PM</t>
  </si>
  <si>
    <t>STL</t>
  </si>
  <si>
    <t>196/427</t>
  </si>
  <si>
    <t>103/126</t>
  </si>
  <si>
    <t>230/484</t>
  </si>
  <si>
    <t>124/152</t>
  </si>
  <si>
    <t>226/476</t>
  </si>
  <si>
    <t>134/182</t>
  </si>
  <si>
    <t>219/405</t>
  </si>
  <si>
    <t>98/132</t>
  </si>
  <si>
    <t>210/411</t>
  </si>
  <si>
    <t>119/157</t>
  </si>
  <si>
    <t>185/428</t>
  </si>
  <si>
    <t>95/123</t>
  </si>
  <si>
    <t>195/421</t>
  </si>
  <si>
    <t>103/133</t>
  </si>
  <si>
    <t>217/466</t>
  </si>
  <si>
    <t>86/110</t>
  </si>
  <si>
    <t>177/402</t>
  </si>
  <si>
    <t>97/111</t>
  </si>
  <si>
    <t>206/456</t>
  </si>
  <si>
    <t>135/175</t>
  </si>
  <si>
    <t>208/446</t>
  </si>
  <si>
    <t>116/158</t>
  </si>
  <si>
    <t>171/406</t>
  </si>
  <si>
    <t>120/153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</si>
</sst>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1"/>
      <color rgb="FF232A31"/>
      <name val="Arial"/>
      <family val="2"/>
    </font>
    <font>
      <sz val="11"/>
      <color rgb="FF232A31"/>
      <name val="Arial"/>
      <family val="2"/>
    </font>
    <font>
      <sz val="11"/>
      <color rgb="FF0063EB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</fills>
  <borders count="7">
    <border>
      <left/>
      <right/>
      <top/>
      <bottom/>
      <diagonal/>
    </border>
    <border>
      <left style="medium">
        <color rgb="FFE0E4E9"/>
      </left>
      <right/>
      <top style="medium">
        <color rgb="FFE0E4E9"/>
      </top>
      <bottom style="medium">
        <color rgb="FFE0E4E9"/>
      </bottom>
      <diagonal/>
    </border>
    <border>
      <left/>
      <right/>
      <top style="medium">
        <color rgb="FFE0E4E9"/>
      </top>
      <bottom style="medium">
        <color rgb="FFE0E4E9"/>
      </bottom>
      <diagonal/>
    </border>
    <border>
      <left/>
      <right style="medium">
        <color rgb="FFE0E4E9"/>
      </right>
      <top style="medium">
        <color rgb="FFE0E4E9"/>
      </top>
      <bottom style="medium">
        <color rgb="FFE0E4E9"/>
      </bottom>
      <diagonal/>
    </border>
    <border>
      <left/>
      <right/>
      <top style="medium">
        <color rgb="FF000000"/>
      </top>
      <bottom style="medium">
        <color rgb="FFE0E4E9"/>
      </bottom>
      <diagonal/>
    </border>
    <border>
      <left style="medium">
        <color rgb="FFE0E4E9"/>
      </left>
      <right/>
      <top style="medium">
        <color rgb="FF000000"/>
      </top>
      <bottom style="medium">
        <color rgb="FFE0E4E9"/>
      </bottom>
      <diagonal/>
    </border>
    <border>
      <left/>
      <right style="medium">
        <color rgb="FFE0E4E9"/>
      </right>
      <top style="medium">
        <color rgb="FF000000"/>
      </top>
      <bottom style="medium">
        <color rgb="FFE0E4E9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2" fillId="0" borderId="1" xfId="0" applyFont="1" applyBorder="1" applyAlignment="1">
      <alignment horizontal="left" vertical="center" wrapText="1" indent="2"/>
    </xf>
    <xf numFmtId="0" fontId="2" fillId="0" borderId="2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2" fillId="0" borderId="4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left" vertical="center" wrapText="1" indent="1"/>
    </xf>
    <xf numFmtId="0" fontId="3" fillId="0" borderId="2" xfId="0" applyFont="1" applyBorder="1" applyAlignment="1">
      <alignment horizontal="center" vertical="center" wrapText="1"/>
    </xf>
    <xf numFmtId="0" fontId="4" fillId="0" borderId="5" xfId="0" applyFont="1" applyBorder="1" applyAlignment="1">
      <alignment horizontal="left" vertical="center" wrapText="1" indent="1"/>
    </xf>
    <xf numFmtId="0" fontId="3" fillId="0" borderId="6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2" fillId="0" borderId="6" xfId="0" applyFont="1" applyBorder="1" applyAlignment="1">
      <alignment horizontal="center" vertical="center" wrapText="1"/>
    </xf>
    <xf numFmtId="0" fontId="1" fillId="2" borderId="0" xfId="0" applyFont="1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13C204-303A-4FCA-AB7D-D7C15CE21415}">
  <sheetPr codeName="Sheet1"/>
  <dimension ref="A1:M13"/>
  <sheetViews>
    <sheetView workbookViewId="0">
      <selection activeCell="C6" sqref="C6"/>
    </sheetView>
  </sheetViews>
  <sheetFormatPr defaultRowHeight="15" x14ac:dyDescent="0.25"/>
  <sheetData>
    <row r="1" spans="1:13" ht="15.75" thickBot="1" x14ac:dyDescent="0.3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3"/>
    </row>
    <row r="2" spans="1:13" ht="29.25" thickBot="1" x14ac:dyDescent="0.3">
      <c r="A2" s="6" t="s">
        <v>12</v>
      </c>
      <c r="B2" s="7" t="s">
        <v>31</v>
      </c>
      <c r="C2" s="7">
        <v>0.45900000000000002</v>
      </c>
      <c r="D2" s="7" t="s">
        <v>32</v>
      </c>
      <c r="E2" s="2">
        <v>0.81699999999999995</v>
      </c>
      <c r="F2" s="7">
        <v>54</v>
      </c>
      <c r="G2" s="7">
        <v>549</v>
      </c>
      <c r="H2" s="2">
        <v>216</v>
      </c>
      <c r="I2" s="2">
        <v>146</v>
      </c>
      <c r="J2" s="7">
        <v>32</v>
      </c>
      <c r="K2" s="2">
        <v>21</v>
      </c>
      <c r="L2" s="2">
        <v>71</v>
      </c>
      <c r="M2" s="3">
        <v>5</v>
      </c>
    </row>
    <row r="3" spans="1:13" ht="43.5" thickBot="1" x14ac:dyDescent="0.3">
      <c r="A3" s="8" t="s">
        <v>13</v>
      </c>
      <c r="B3" s="4" t="s">
        <v>33</v>
      </c>
      <c r="C3" s="5">
        <v>0.47499999999999998</v>
      </c>
      <c r="D3" s="4" t="s">
        <v>34</v>
      </c>
      <c r="E3" s="4">
        <v>0.81599999999999995</v>
      </c>
      <c r="F3" s="5">
        <v>71</v>
      </c>
      <c r="G3" s="5">
        <v>655</v>
      </c>
      <c r="H3" s="4">
        <v>163</v>
      </c>
      <c r="I3" s="4">
        <v>131</v>
      </c>
      <c r="J3" s="5">
        <v>33</v>
      </c>
      <c r="K3" s="4">
        <v>20</v>
      </c>
      <c r="L3" s="4">
        <v>89</v>
      </c>
      <c r="M3" s="9">
        <v>4</v>
      </c>
    </row>
    <row r="4" spans="1:13" ht="29.25" thickBot="1" x14ac:dyDescent="0.3">
      <c r="A4" s="6" t="s">
        <v>14</v>
      </c>
      <c r="B4" s="7" t="s">
        <v>35</v>
      </c>
      <c r="C4" s="7">
        <v>0.47499999999999998</v>
      </c>
      <c r="D4" s="7" t="s">
        <v>36</v>
      </c>
      <c r="E4" s="7">
        <v>0.73599999999999999</v>
      </c>
      <c r="F4" s="7">
        <v>52</v>
      </c>
      <c r="G4" s="2">
        <v>638</v>
      </c>
      <c r="H4" s="7">
        <v>215</v>
      </c>
      <c r="I4" s="7">
        <v>121</v>
      </c>
      <c r="J4" s="7">
        <v>28</v>
      </c>
      <c r="K4" s="7">
        <v>21</v>
      </c>
      <c r="L4" s="7">
        <v>82</v>
      </c>
      <c r="M4" s="10">
        <v>1</v>
      </c>
    </row>
    <row r="5" spans="1:13" ht="15.75" thickBot="1" x14ac:dyDescent="0.3">
      <c r="A5" s="8" t="s">
        <v>15</v>
      </c>
      <c r="B5" s="4" t="s">
        <v>37</v>
      </c>
      <c r="C5" s="5">
        <v>0.54100000000000004</v>
      </c>
      <c r="D5" s="4" t="s">
        <v>38</v>
      </c>
      <c r="E5" s="5">
        <v>0.74199999999999999</v>
      </c>
      <c r="F5" s="5">
        <v>56</v>
      </c>
      <c r="G5" s="4">
        <v>592</v>
      </c>
      <c r="H5" s="5">
        <v>256</v>
      </c>
      <c r="I5" s="5">
        <v>147</v>
      </c>
      <c r="J5" s="5">
        <v>59</v>
      </c>
      <c r="K5" s="5">
        <v>29</v>
      </c>
      <c r="L5" s="5">
        <v>65</v>
      </c>
      <c r="M5" s="11">
        <v>8</v>
      </c>
    </row>
    <row r="6" spans="1:13" ht="29.25" thickBot="1" x14ac:dyDescent="0.3">
      <c r="A6" s="6" t="s">
        <v>16</v>
      </c>
      <c r="B6" s="7" t="s">
        <v>39</v>
      </c>
      <c r="C6" s="2">
        <v>0.51100000000000001</v>
      </c>
      <c r="D6" s="7" t="s">
        <v>40</v>
      </c>
      <c r="E6" s="7">
        <v>0.75800000000000001</v>
      </c>
      <c r="F6" s="2">
        <v>60</v>
      </c>
      <c r="G6" s="2">
        <v>599</v>
      </c>
      <c r="H6" s="7">
        <v>202</v>
      </c>
      <c r="I6" s="7">
        <v>101</v>
      </c>
      <c r="J6" s="2">
        <v>45</v>
      </c>
      <c r="K6" s="2">
        <v>18</v>
      </c>
      <c r="L6" s="2">
        <v>69</v>
      </c>
      <c r="M6" s="3">
        <v>6</v>
      </c>
    </row>
    <row r="7" spans="1:13" ht="15.75" thickBot="1" x14ac:dyDescent="0.3">
      <c r="A7" s="8" t="s">
        <v>17</v>
      </c>
      <c r="B7" s="4" t="s">
        <v>41</v>
      </c>
      <c r="C7" s="4">
        <v>0.432</v>
      </c>
      <c r="D7" s="4" t="s">
        <v>42</v>
      </c>
      <c r="E7" s="5">
        <v>0.77200000000000002</v>
      </c>
      <c r="F7" s="4">
        <v>54</v>
      </c>
      <c r="G7" s="4">
        <v>519</v>
      </c>
      <c r="H7" s="5">
        <v>203</v>
      </c>
      <c r="I7" s="5">
        <v>136</v>
      </c>
      <c r="J7" s="4">
        <v>36</v>
      </c>
      <c r="K7" s="4">
        <v>17</v>
      </c>
      <c r="L7" s="4">
        <v>80</v>
      </c>
      <c r="M7" s="9">
        <v>3</v>
      </c>
    </row>
    <row r="8" spans="1:13" ht="57.75" thickBot="1" x14ac:dyDescent="0.3">
      <c r="A8" s="6" t="s">
        <v>18</v>
      </c>
      <c r="B8" s="7" t="s">
        <v>43</v>
      </c>
      <c r="C8" s="7">
        <v>0.46300000000000002</v>
      </c>
      <c r="D8" s="7" t="s">
        <v>44</v>
      </c>
      <c r="E8" s="7">
        <v>0.77400000000000002</v>
      </c>
      <c r="F8" s="2">
        <v>63</v>
      </c>
      <c r="G8" s="7">
        <v>556</v>
      </c>
      <c r="H8" s="7">
        <v>217</v>
      </c>
      <c r="I8" s="2">
        <v>143</v>
      </c>
      <c r="J8" s="2">
        <v>54</v>
      </c>
      <c r="K8" s="2">
        <v>28</v>
      </c>
      <c r="L8" s="7">
        <v>89</v>
      </c>
      <c r="M8" s="10">
        <v>4</v>
      </c>
    </row>
    <row r="9" spans="1:13" ht="15.75" thickBot="1" x14ac:dyDescent="0.3">
      <c r="A9" s="8" t="s">
        <v>19</v>
      </c>
      <c r="B9" s="4" t="s">
        <v>45</v>
      </c>
      <c r="C9" s="5">
        <v>0.46600000000000003</v>
      </c>
      <c r="D9" s="4" t="s">
        <v>46</v>
      </c>
      <c r="E9" s="5">
        <v>0.78200000000000003</v>
      </c>
      <c r="F9" s="4">
        <v>57</v>
      </c>
      <c r="G9" s="5">
        <v>577</v>
      </c>
      <c r="H9" s="5">
        <v>235</v>
      </c>
      <c r="I9" s="4">
        <v>132</v>
      </c>
      <c r="J9" s="4">
        <v>33</v>
      </c>
      <c r="K9" s="4">
        <v>22</v>
      </c>
      <c r="L9" s="5">
        <v>86</v>
      </c>
      <c r="M9" s="11">
        <v>5</v>
      </c>
    </row>
    <row r="10" spans="1:13" ht="15.75" thickBot="1" x14ac:dyDescent="0.3">
      <c r="A10" s="6" t="s">
        <v>22</v>
      </c>
      <c r="B10" s="7" t="s">
        <v>47</v>
      </c>
      <c r="C10" s="7">
        <v>0.44</v>
      </c>
      <c r="D10" s="7" t="s">
        <v>48</v>
      </c>
      <c r="E10" s="2">
        <v>0.874</v>
      </c>
      <c r="F10" s="7">
        <v>43</v>
      </c>
      <c r="G10" s="7">
        <v>494</v>
      </c>
      <c r="H10" s="7">
        <v>181</v>
      </c>
      <c r="I10" s="7">
        <v>107</v>
      </c>
      <c r="J10" s="7">
        <v>47</v>
      </c>
      <c r="K10" s="7">
        <v>20</v>
      </c>
      <c r="L10" s="2">
        <v>71</v>
      </c>
      <c r="M10" s="10">
        <v>2</v>
      </c>
    </row>
    <row r="11" spans="1:13" ht="15.75" thickBot="1" x14ac:dyDescent="0.3">
      <c r="A11" s="8" t="s">
        <v>23</v>
      </c>
      <c r="B11" s="4" t="s">
        <v>49</v>
      </c>
      <c r="C11" s="5">
        <v>0.45200000000000001</v>
      </c>
      <c r="D11" s="4" t="s">
        <v>50</v>
      </c>
      <c r="E11" s="4">
        <v>0.77100000000000002</v>
      </c>
      <c r="F11" s="5">
        <v>72</v>
      </c>
      <c r="G11" s="5">
        <v>619</v>
      </c>
      <c r="H11" s="5">
        <v>193</v>
      </c>
      <c r="I11" s="5">
        <v>123</v>
      </c>
      <c r="J11" s="5">
        <v>50</v>
      </c>
      <c r="K11" s="5">
        <v>37</v>
      </c>
      <c r="L11" s="4">
        <v>83</v>
      </c>
      <c r="M11" s="11">
        <v>7</v>
      </c>
    </row>
    <row r="12" spans="1:13" ht="43.5" thickBot="1" x14ac:dyDescent="0.3">
      <c r="A12" s="6" t="s">
        <v>20</v>
      </c>
      <c r="B12" s="7" t="s">
        <v>51</v>
      </c>
      <c r="C12" s="2">
        <v>0.46600000000000003</v>
      </c>
      <c r="D12" s="7" t="s">
        <v>52</v>
      </c>
      <c r="E12" s="7">
        <v>0.73399999999999999</v>
      </c>
      <c r="F12" s="7">
        <v>36</v>
      </c>
      <c r="G12" s="2">
        <v>568</v>
      </c>
      <c r="H12" s="2">
        <v>192</v>
      </c>
      <c r="I12" s="7">
        <v>111</v>
      </c>
      <c r="J12" s="2">
        <v>48</v>
      </c>
      <c r="K12" s="7">
        <v>24</v>
      </c>
      <c r="L12" s="2">
        <v>72</v>
      </c>
      <c r="M12" s="3">
        <v>5</v>
      </c>
    </row>
    <row r="13" spans="1:13" ht="15.75" thickBot="1" x14ac:dyDescent="0.3">
      <c r="A13" s="8" t="s">
        <v>21</v>
      </c>
      <c r="B13" s="4" t="s">
        <v>53</v>
      </c>
      <c r="C13" s="4">
        <v>0.42099999999999999</v>
      </c>
      <c r="D13" s="4" t="s">
        <v>54</v>
      </c>
      <c r="E13" s="5">
        <v>0.78400000000000003</v>
      </c>
      <c r="F13" s="5">
        <v>69</v>
      </c>
      <c r="G13" s="4">
        <v>531</v>
      </c>
      <c r="H13" s="4">
        <v>180</v>
      </c>
      <c r="I13" s="5">
        <v>118</v>
      </c>
      <c r="J13" s="4">
        <v>27</v>
      </c>
      <c r="K13" s="5">
        <v>27</v>
      </c>
      <c r="L13" s="4">
        <v>78</v>
      </c>
      <c r="M13" s="9">
        <v>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D6F21-FA65-4A20-B8D6-8358C5CE585F}">
  <sheetPr codeName="Sheet2"/>
  <dimension ref="B1:N14"/>
  <sheetViews>
    <sheetView tabSelected="1" workbookViewId="0">
      <selection activeCell="D12" sqref="D12"/>
    </sheetView>
  </sheetViews>
  <sheetFormatPr defaultRowHeight="15" x14ac:dyDescent="0.25"/>
  <cols>
    <col min="1" max="1" width="4.85546875" customWidth="1"/>
  </cols>
  <sheetData>
    <row r="1" spans="2:14" ht="11.25" customHeight="1" x14ac:dyDescent="0.25"/>
    <row r="2" spans="2:14" x14ac:dyDescent="0.25">
      <c r="B2" s="12" t="s">
        <v>0</v>
      </c>
      <c r="C2" s="12" t="s">
        <v>24</v>
      </c>
      <c r="D2" s="12" t="s">
        <v>25</v>
      </c>
      <c r="E2" s="12" t="s">
        <v>26</v>
      </c>
      <c r="F2" s="12" t="s">
        <v>27</v>
      </c>
      <c r="G2" s="12" t="s">
        <v>28</v>
      </c>
      <c r="H2" s="12" t="s">
        <v>29</v>
      </c>
      <c r="I2" s="12" t="s">
        <v>6</v>
      </c>
      <c r="J2" s="12" t="s">
        <v>7</v>
      </c>
      <c r="K2" s="12" t="s">
        <v>8</v>
      </c>
      <c r="L2" s="12" t="s">
        <v>30</v>
      </c>
      <c r="M2" s="12" t="s">
        <v>10</v>
      </c>
      <c r="N2" s="12" t="s">
        <v>11</v>
      </c>
    </row>
    <row r="3" spans="2:14" x14ac:dyDescent="0.25">
      <c r="B3" t="str" cm="1">
        <f t="array" ref="B3:B14">'raw stats'!A2:A13</f>
        <v>rawballs</v>
      </c>
      <c r="C3" t="str">
        <f>B4</f>
        <v>Scottie doesn't know</v>
      </c>
      <c r="D3" cm="1">
        <f t="array" ref="D3:E3">--_xlfn.TEXTSPLIT('raw stats'!B2,"/")</f>
        <v>196</v>
      </c>
      <c r="E3">
        <v>427</v>
      </c>
      <c r="F3" cm="1">
        <f t="array" ref="F3:G3">--_xlfn.TEXTSPLIT('raw stats'!D2,"/")</f>
        <v>103</v>
      </c>
      <c r="G3">
        <v>126</v>
      </c>
      <c r="H3">
        <f>'raw stats'!F2</f>
        <v>54</v>
      </c>
      <c r="I3">
        <f>'raw stats'!G2</f>
        <v>549</v>
      </c>
      <c r="J3">
        <f>'raw stats'!H2</f>
        <v>216</v>
      </c>
      <c r="K3">
        <f>'raw stats'!I2</f>
        <v>146</v>
      </c>
      <c r="L3">
        <f>'raw stats'!J2</f>
        <v>32</v>
      </c>
      <c r="M3">
        <f>'raw stats'!K2</f>
        <v>21</v>
      </c>
      <c r="N3">
        <f>'raw stats'!L2</f>
        <v>71</v>
      </c>
    </row>
    <row r="4" spans="2:14" x14ac:dyDescent="0.25">
      <c r="B4" t="str">
        <v>Scottie doesn't know</v>
      </c>
      <c r="C4" t="str">
        <f>B3</f>
        <v>rawballs</v>
      </c>
      <c r="D4" cm="1">
        <f t="array" ref="D4:E4">--_xlfn.TEXTSPLIT('raw stats'!B3,"/")</f>
        <v>230</v>
      </c>
      <c r="E4">
        <v>484</v>
      </c>
      <c r="F4" cm="1">
        <f t="array" ref="F4:G4">--_xlfn.TEXTSPLIT('raw stats'!D3,"/")</f>
        <v>124</v>
      </c>
      <c r="G4">
        <v>152</v>
      </c>
      <c r="H4">
        <f>'raw stats'!F3</f>
        <v>71</v>
      </c>
      <c r="I4">
        <f>'raw stats'!G3</f>
        <v>655</v>
      </c>
      <c r="J4">
        <f>'raw stats'!H3</f>
        <v>163</v>
      </c>
      <c r="K4">
        <f>'raw stats'!I3</f>
        <v>131</v>
      </c>
      <c r="L4">
        <f>'raw stats'!J3</f>
        <v>33</v>
      </c>
      <c r="M4">
        <f>'raw stats'!K3</f>
        <v>20</v>
      </c>
      <c r="N4">
        <f>'raw stats'!L3</f>
        <v>89</v>
      </c>
    </row>
    <row r="5" spans="2:14" x14ac:dyDescent="0.25">
      <c r="B5" t="str">
        <v>Lake Show</v>
      </c>
      <c r="C5" t="str">
        <f t="shared" ref="C5" si="0">B6</f>
        <v>Mj</v>
      </c>
      <c r="D5" cm="1">
        <f t="array" ref="D5:E5">--_xlfn.TEXTSPLIT('raw stats'!B4,"/")</f>
        <v>226</v>
      </c>
      <c r="E5">
        <v>476</v>
      </c>
      <c r="F5" cm="1">
        <f t="array" ref="F5:G5">--_xlfn.TEXTSPLIT('raw stats'!D4,"/")</f>
        <v>134</v>
      </c>
      <c r="G5">
        <v>182</v>
      </c>
      <c r="H5">
        <f>'raw stats'!F4</f>
        <v>52</v>
      </c>
      <c r="I5">
        <f>'raw stats'!G4</f>
        <v>638</v>
      </c>
      <c r="J5">
        <f>'raw stats'!H4</f>
        <v>215</v>
      </c>
      <c r="K5">
        <f>'raw stats'!I4</f>
        <v>121</v>
      </c>
      <c r="L5">
        <f>'raw stats'!J4</f>
        <v>28</v>
      </c>
      <c r="M5">
        <f>'raw stats'!K4</f>
        <v>21</v>
      </c>
      <c r="N5">
        <f>'raw stats'!L4</f>
        <v>82</v>
      </c>
    </row>
    <row r="6" spans="2:14" x14ac:dyDescent="0.25">
      <c r="B6" t="str">
        <v>Mj</v>
      </c>
      <c r="C6" t="str">
        <f t="shared" ref="C6" si="1">B5</f>
        <v>Lake Show</v>
      </c>
      <c r="D6" cm="1">
        <f t="array" ref="D6:E6">--_xlfn.TEXTSPLIT('raw stats'!B5,"/")</f>
        <v>219</v>
      </c>
      <c r="E6">
        <v>405</v>
      </c>
      <c r="F6" cm="1">
        <f t="array" ref="F6:G6">--_xlfn.TEXTSPLIT('raw stats'!D5,"/")</f>
        <v>98</v>
      </c>
      <c r="G6">
        <v>132</v>
      </c>
      <c r="H6">
        <f>'raw stats'!F5</f>
        <v>56</v>
      </c>
      <c r="I6">
        <f>'raw stats'!G5</f>
        <v>592</v>
      </c>
      <c r="J6">
        <f>'raw stats'!H5</f>
        <v>256</v>
      </c>
      <c r="K6">
        <f>'raw stats'!I5</f>
        <v>147</v>
      </c>
      <c r="L6">
        <f>'raw stats'!J5</f>
        <v>59</v>
      </c>
      <c r="M6">
        <f>'raw stats'!K5</f>
        <v>29</v>
      </c>
      <c r="N6">
        <f>'raw stats'!L5</f>
        <v>65</v>
      </c>
    </row>
    <row r="7" spans="2:14" x14ac:dyDescent="0.25">
      <c r="B7" t="str">
        <v>Team G</v>
      </c>
      <c r="C7" t="str">
        <f t="shared" ref="C7" si="2">B8</f>
        <v>PFG</v>
      </c>
      <c r="D7" cm="1">
        <f t="array" ref="D7:E7">--_xlfn.TEXTSPLIT('raw stats'!B6,"/")</f>
        <v>210</v>
      </c>
      <c r="E7">
        <v>411</v>
      </c>
      <c r="F7" cm="1">
        <f t="array" ref="F7:G7">--_xlfn.TEXTSPLIT('raw stats'!D6,"/")</f>
        <v>119</v>
      </c>
      <c r="G7">
        <v>157</v>
      </c>
      <c r="H7">
        <f>'raw stats'!F6</f>
        <v>60</v>
      </c>
      <c r="I7">
        <f>'raw stats'!G6</f>
        <v>599</v>
      </c>
      <c r="J7">
        <f>'raw stats'!H6</f>
        <v>202</v>
      </c>
      <c r="K7">
        <f>'raw stats'!I6</f>
        <v>101</v>
      </c>
      <c r="L7">
        <f>'raw stats'!J6</f>
        <v>45</v>
      </c>
      <c r="M7">
        <f>'raw stats'!K6</f>
        <v>18</v>
      </c>
      <c r="N7">
        <f>'raw stats'!L6</f>
        <v>69</v>
      </c>
    </row>
    <row r="8" spans="2:14" x14ac:dyDescent="0.25">
      <c r="B8" t="str">
        <v>PFG</v>
      </c>
      <c r="C8" t="str">
        <f t="shared" ref="C8" si="3">B7</f>
        <v>Team G</v>
      </c>
      <c r="D8" cm="1">
        <f t="array" ref="D8:E8">--_xlfn.TEXTSPLIT('raw stats'!B7,"/")</f>
        <v>185</v>
      </c>
      <c r="E8">
        <v>428</v>
      </c>
      <c r="F8" cm="1">
        <f t="array" ref="F8:G8">--_xlfn.TEXTSPLIT('raw stats'!D7,"/")</f>
        <v>95</v>
      </c>
      <c r="G8">
        <v>123</v>
      </c>
      <c r="H8">
        <f>'raw stats'!F7</f>
        <v>54</v>
      </c>
      <c r="I8">
        <f>'raw stats'!G7</f>
        <v>519</v>
      </c>
      <c r="J8">
        <f>'raw stats'!H7</f>
        <v>203</v>
      </c>
      <c r="K8">
        <f>'raw stats'!I7</f>
        <v>136</v>
      </c>
      <c r="L8">
        <f>'raw stats'!J7</f>
        <v>36</v>
      </c>
      <c r="M8">
        <f>'raw stats'!K7</f>
        <v>17</v>
      </c>
      <c r="N8">
        <f>'raw stats'!L7</f>
        <v>80</v>
      </c>
    </row>
    <row r="9" spans="2:14" x14ac:dyDescent="0.25">
      <c r="B9" t="str">
        <v>OKCTHECHAMPSS</v>
      </c>
      <c r="C9" t="str">
        <f t="shared" ref="C9" si="4">B10</f>
        <v>JLG</v>
      </c>
      <c r="D9" cm="1">
        <f t="array" ref="D9:E9">--_xlfn.TEXTSPLIT('raw stats'!B8,"/")</f>
        <v>195</v>
      </c>
      <c r="E9">
        <v>421</v>
      </c>
      <c r="F9" cm="1">
        <f t="array" ref="F9:G9">--_xlfn.TEXTSPLIT('raw stats'!D8,"/")</f>
        <v>103</v>
      </c>
      <c r="G9">
        <v>133</v>
      </c>
      <c r="H9">
        <f>'raw stats'!F8</f>
        <v>63</v>
      </c>
      <c r="I9">
        <f>'raw stats'!G8</f>
        <v>556</v>
      </c>
      <c r="J9">
        <f>'raw stats'!H8</f>
        <v>217</v>
      </c>
      <c r="K9">
        <f>'raw stats'!I8</f>
        <v>143</v>
      </c>
      <c r="L9">
        <f>'raw stats'!J8</f>
        <v>54</v>
      </c>
      <c r="M9">
        <f>'raw stats'!K8</f>
        <v>28</v>
      </c>
      <c r="N9">
        <f>'raw stats'!L8</f>
        <v>89</v>
      </c>
    </row>
    <row r="10" spans="2:14" x14ac:dyDescent="0.25">
      <c r="B10" t="str">
        <v>JLG</v>
      </c>
      <c r="C10" t="str">
        <f t="shared" ref="C10" si="5">B9</f>
        <v>OKCTHECHAMPSS</v>
      </c>
      <c r="D10" cm="1">
        <f t="array" ref="D10:E10">--_xlfn.TEXTSPLIT('raw stats'!B9,"/")</f>
        <v>217</v>
      </c>
      <c r="E10">
        <v>466</v>
      </c>
      <c r="F10" cm="1">
        <f t="array" ref="F10:G10">--_xlfn.TEXTSPLIT('raw stats'!D9,"/")</f>
        <v>86</v>
      </c>
      <c r="G10">
        <v>110</v>
      </c>
      <c r="H10">
        <f>'raw stats'!F9</f>
        <v>57</v>
      </c>
      <c r="I10">
        <f>'raw stats'!G9</f>
        <v>577</v>
      </c>
      <c r="J10">
        <f>'raw stats'!H9</f>
        <v>235</v>
      </c>
      <c r="K10">
        <f>'raw stats'!I9</f>
        <v>132</v>
      </c>
      <c r="L10">
        <f>'raw stats'!J9</f>
        <v>33</v>
      </c>
      <c r="M10">
        <f>'raw stats'!K9</f>
        <v>22</v>
      </c>
      <c r="N10">
        <f>'raw stats'!L9</f>
        <v>86</v>
      </c>
    </row>
    <row r="11" spans="2:14" x14ac:dyDescent="0.25">
      <c r="B11" t="str">
        <v>MBO</v>
      </c>
      <c r="C11" t="str">
        <f t="shared" ref="C11" si="6">B12</f>
        <v>MGD</v>
      </c>
      <c r="D11" cm="1">
        <f t="array" ref="D11:E11">--_xlfn.TEXTSPLIT('raw stats'!B10,"/")</f>
        <v>177</v>
      </c>
      <c r="E11">
        <v>402</v>
      </c>
      <c r="F11" cm="1">
        <f t="array" ref="F11:G11">--_xlfn.TEXTSPLIT('raw stats'!D10,"/")</f>
        <v>97</v>
      </c>
      <c r="G11">
        <v>111</v>
      </c>
      <c r="H11">
        <f>'raw stats'!F10</f>
        <v>43</v>
      </c>
      <c r="I11">
        <f>'raw stats'!G10</f>
        <v>494</v>
      </c>
      <c r="J11">
        <f>'raw stats'!H10</f>
        <v>181</v>
      </c>
      <c r="K11">
        <f>'raw stats'!I10</f>
        <v>107</v>
      </c>
      <c r="L11">
        <f>'raw stats'!J10</f>
        <v>47</v>
      </c>
      <c r="M11">
        <f>'raw stats'!K10</f>
        <v>20</v>
      </c>
      <c r="N11">
        <f>'raw stats'!L10</f>
        <v>71</v>
      </c>
    </row>
    <row r="12" spans="2:14" x14ac:dyDescent="0.25">
      <c r="B12" t="str">
        <v>MGD</v>
      </c>
      <c r="C12" t="str">
        <f t="shared" ref="C12" si="7">B11</f>
        <v>MBO</v>
      </c>
      <c r="D12" cm="1">
        <f t="array" ref="D12:E12">--_xlfn.TEXTSPLIT('raw stats'!B11,"/")</f>
        <v>206</v>
      </c>
      <c r="E12">
        <v>456</v>
      </c>
      <c r="F12" cm="1">
        <f t="array" ref="F12:G12">--_xlfn.TEXTSPLIT('raw stats'!D11,"/")</f>
        <v>135</v>
      </c>
      <c r="G12">
        <v>175</v>
      </c>
      <c r="H12">
        <f>'raw stats'!F11</f>
        <v>72</v>
      </c>
      <c r="I12">
        <f>'raw stats'!G11</f>
        <v>619</v>
      </c>
      <c r="J12">
        <f>'raw stats'!H11</f>
        <v>193</v>
      </c>
      <c r="K12">
        <f>'raw stats'!I11</f>
        <v>123</v>
      </c>
      <c r="L12">
        <f>'raw stats'!J11</f>
        <v>50</v>
      </c>
      <c r="M12">
        <f>'raw stats'!K11</f>
        <v>37</v>
      </c>
      <c r="N12">
        <f>'raw stats'!L11</f>
        <v>83</v>
      </c>
    </row>
    <row r="13" spans="2:14" x14ac:dyDescent="0.25">
      <c r="B13" t="str">
        <v>Hays charlotte</v>
      </c>
      <c r="C13" t="str">
        <f t="shared" ref="C13" si="8">B14</f>
        <v>Mate</v>
      </c>
      <c r="D13" cm="1">
        <f t="array" ref="D13:E13">--_xlfn.TEXTSPLIT('raw stats'!B12,"/")</f>
        <v>208</v>
      </c>
      <c r="E13">
        <v>446</v>
      </c>
      <c r="F13" cm="1">
        <f t="array" ref="F13:G13">--_xlfn.TEXTSPLIT('raw stats'!D12,"/")</f>
        <v>116</v>
      </c>
      <c r="G13">
        <v>158</v>
      </c>
      <c r="H13">
        <f>'raw stats'!F12</f>
        <v>36</v>
      </c>
      <c r="I13">
        <f>'raw stats'!G12</f>
        <v>568</v>
      </c>
      <c r="J13">
        <f>'raw stats'!H12</f>
        <v>192</v>
      </c>
      <c r="K13">
        <f>'raw stats'!I12</f>
        <v>111</v>
      </c>
      <c r="L13">
        <f>'raw stats'!J12</f>
        <v>48</v>
      </c>
      <c r="M13">
        <f>'raw stats'!K12</f>
        <v>24</v>
      </c>
      <c r="N13">
        <f>'raw stats'!L12</f>
        <v>72</v>
      </c>
    </row>
    <row r="14" spans="2:14" x14ac:dyDescent="0.25">
      <c r="B14" t="str">
        <v>Mate</v>
      </c>
      <c r="C14" t="str">
        <f t="shared" ref="C14" si="9">B13</f>
        <v>Hays charlotte</v>
      </c>
      <c r="D14" cm="1">
        <f t="array" ref="D14:E14">--_xlfn.TEXTSPLIT('raw stats'!B13,"/")</f>
        <v>171</v>
      </c>
      <c r="E14">
        <v>406</v>
      </c>
      <c r="F14" cm="1">
        <f t="array" ref="F14:G14">--_xlfn.TEXTSPLIT('raw stats'!D13,"/")</f>
        <v>120</v>
      </c>
      <c r="G14">
        <v>153</v>
      </c>
      <c r="H14">
        <f>'raw stats'!F13</f>
        <v>69</v>
      </c>
      <c r="I14">
        <f>'raw stats'!G13</f>
        <v>531</v>
      </c>
      <c r="J14">
        <f>'raw stats'!H13</f>
        <v>180</v>
      </c>
      <c r="K14">
        <f>'raw stats'!I13</f>
        <v>118</v>
      </c>
      <c r="L14">
        <f>'raw stats'!J13</f>
        <v>27</v>
      </c>
      <c r="M14">
        <f>'raw stats'!K13</f>
        <v>27</v>
      </c>
      <c r="N14">
        <f>'raw stats'!L13</f>
        <v>78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raw stats</vt:lpstr>
      <vt:lpstr>cleaned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Jeffrey Robles</dc:creator>
  <cp:lastModifiedBy>Jeffrey Robles</cp:lastModifiedBy>
  <dcterms:created xsi:type="dcterms:W3CDTF">2026-10-24T15:39:27Z</dcterms:created>
  <dcterms:modified xsi:type="dcterms:W3CDTF">2026-10-26T16:21:32Z</dcterms:modified>
</cp:coreProperties>
</file>